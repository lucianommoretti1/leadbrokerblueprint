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yer side" sheetId="1" state="visible" r:id="rId3"/>
    <sheet name="Seller side" sheetId="2" state="visible" r:id="rId4"/>
    <sheet name="Scenarios" sheetId="3" state="visible" r:id="rId5"/>
    <sheet name="How to use th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<sst xmlns="http://schemas.openxmlformats.org/spreadsheetml/2006/main" count="125" uniqueCount="104">
  <si>
    <t xml:space="preserve">Buyer-side unit economics — what a lead actually costs the buyer</t>
  </si>
  <si>
    <t xml:space="preserve">Edit the YELLOW cells with your assumptions.  Calculated values (blue background) update automatically.  INPUTS are in blue text; FORMULAS are in black.</t>
  </si>
  <si>
    <t xml:space="preserve">Variable</t>
  </si>
  <si>
    <t xml:space="preserve">Value</t>
  </si>
  <si>
    <t xml:space="preserve">Unit</t>
  </si>
  <si>
    <t xml:space="preserve">Notes</t>
  </si>
  <si>
    <t xml:space="preserve">Lead price (buyer pays seller, per delivered lead)</t>
  </si>
  <si>
    <t xml:space="preserve">USD</t>
  </si>
  <si>
    <t xml:space="preserve">From your lead purchase agreement.</t>
  </si>
  <si>
    <t xml:space="preserve">Lead-to-customer conversion rate</t>
  </si>
  <si>
    <t xml:space="preserve">%</t>
  </si>
  <si>
    <t xml:space="preserve">From your CRM (signed cases / leads worked).</t>
  </si>
  <si>
    <t xml:space="preserve">Other variable costs per customer (intake labor, materials, etc.)</t>
  </si>
  <si>
    <t xml:space="preserve">Excludes lead cost itself.</t>
  </si>
  <si>
    <t xml:space="preserve">Average net revenue per customer (LTV)</t>
  </si>
  <si>
    <t xml:space="preserve">Gross profit per converted customer over their relationship.</t>
  </si>
  <si>
    <t xml:space="preserve">Months until LTV is realized (payback horizon)</t>
  </si>
  <si>
    <t xml:space="preserve">months</t>
  </si>
  <si>
    <t xml:space="preserve">For payback-period calc.</t>
  </si>
  <si>
    <t xml:space="preserve">Leads needed per customer</t>
  </si>
  <si>
    <t xml:space="preserve">leads</t>
  </si>
  <si>
    <t xml:space="preserve">'= 1 / conversion rate.</t>
  </si>
  <si>
    <t xml:space="preserve">CAC (customer acquisition cost)</t>
  </si>
  <si>
    <t xml:space="preserve">'= (lead cost / conversion) + other variable costs.</t>
  </si>
  <si>
    <t xml:space="preserve">Gross margin per customer</t>
  </si>
  <si>
    <t xml:space="preserve">'= LTV - CAC.</t>
  </si>
  <si>
    <t xml:space="preserve">Gross margin %</t>
  </si>
  <si>
    <t xml:space="preserve">'= margin / LTV.</t>
  </si>
  <si>
    <t xml:space="preserve">Payback period (months)</t>
  </si>
  <si>
    <t xml:space="preserve">Approx: (months × CAC) / LTV.</t>
  </si>
  <si>
    <t xml:space="preserve">Try this: cut conversion rate in half.  Watch what happens to CAC and margin.</t>
  </si>
  <si>
    <t xml:space="preserve">Seller-side unit economics — what a lead costs you to produce</t>
  </si>
  <si>
    <t xml:space="preserve">Edit the YELLOW cells with your assumptions.  Calculated values (blue background) update automatically.</t>
  </si>
  <si>
    <t xml:space="preserve">Monthly ad spend (paid search, paid social, etc.)</t>
  </si>
  <si>
    <t xml:space="preserve">Marketing dollars only.</t>
  </si>
  <si>
    <t xml:space="preserve">Leads produced per month</t>
  </si>
  <si>
    <t xml:space="preserve">Net of disqualifications and invalid submissions.</t>
  </si>
  <si>
    <t xml:space="preserve">Other monthly costs (tooling, creative, labor, hosting)</t>
  </si>
  <si>
    <t xml:space="preserve">TrustedForm, LeadConduit, landing-page tools, intake agents, etc.</t>
  </si>
  <si>
    <t xml:space="preserve">Average sale price per lead to buyer</t>
  </si>
  <si>
    <t xml:space="preserve">Average across your buyers.</t>
  </si>
  <si>
    <t xml:space="preserve">Return / refund rate</t>
  </si>
  <si>
    <t xml:space="preserve">% of leads that get returned and credited.</t>
  </si>
  <si>
    <t xml:space="preserve">Cost per produced lead (CPL — supply side)</t>
  </si>
  <si>
    <t xml:space="preserve">'= (ad spend + other costs) / leads produced.</t>
  </si>
  <si>
    <t xml:space="preserve">Effective revenue per lead (after returns)</t>
  </si>
  <si>
    <t xml:space="preserve">'= sale price × (1 - return rate).</t>
  </si>
  <si>
    <t xml:space="preserve">Margin per lead</t>
  </si>
  <si>
    <t xml:space="preserve">'= effective revenue - CPL.</t>
  </si>
  <si>
    <t xml:space="preserve">Margin %</t>
  </si>
  <si>
    <t xml:space="preserve">'= margin / effective revenue.</t>
  </si>
  <si>
    <t xml:space="preserve">Monthly gross profit</t>
  </si>
  <si>
    <t xml:space="preserve">'= leads × margin per lead.</t>
  </si>
  <si>
    <t xml:space="preserve">Pre-loaded scenarios — for sanity-checking your assumptions</t>
  </si>
  <si>
    <t xml:space="preserve">Illustrative scenarios drawn from Module 1.5 and Module 5.7 worked examples.  Numbers are representative ranges, not market-clearing prices.  Use these to calibrate your buyer-side and seller-side inputs.</t>
  </si>
  <si>
    <t xml:space="preserve">Scenario</t>
  </si>
  <si>
    <t xml:space="preserve">Lead price</t>
  </si>
  <si>
    <t xml:space="preserve">Conv. rate</t>
  </si>
  <si>
    <t xml:space="preserve">LTV</t>
  </si>
  <si>
    <t xml:space="preserve">Other vbl</t>
  </si>
  <si>
    <t xml:space="preserve">CAC</t>
  </si>
  <si>
    <t xml:space="preserve">Margin</t>
  </si>
  <si>
    <t xml:space="preserve">PI exclusive — strong intake</t>
  </si>
  <si>
    <t xml:space="preserve">PI exclusive — average intake</t>
  </si>
  <si>
    <t xml:space="preserve">PI shared — average intake</t>
  </si>
  <si>
    <t xml:space="preserve">HVAC exclusive replacement</t>
  </si>
  <si>
    <t xml:space="preserve">HVAC shared replacement</t>
  </si>
  <si>
    <t xml:space="preserve">Auto insurance shared</t>
  </si>
  <si>
    <t xml:space="preserve">Medicare AEP qualified call</t>
  </si>
  <si>
    <t xml:space="preserve">Final expense / life</t>
  </si>
  <si>
    <t xml:space="preserve">Mortgage purchase</t>
  </si>
  <si>
    <t xml:space="preserve">Debt relief</t>
  </si>
  <si>
    <t xml:space="preserve">Tax resolution</t>
  </si>
  <si>
    <t xml:space="preserve">Med spa initial consult</t>
  </si>
  <si>
    <t xml:space="preserve">Dental implants</t>
  </si>
  <si>
    <t xml:space="preserve">Real estate seller leads</t>
  </si>
  <si>
    <t xml:space="preserve">B2B SaaS qualified meeting</t>
  </si>
  <si>
    <t xml:space="preserve">How to use this calculator</t>
  </si>
  <si>
    <t xml:space="preserve">Four sheets:</t>
  </si>
  <si>
    <t xml:space="preserve">  1.  Buyer side  — input your buyer's per-lead cost, conversion rate, LTV, other variable costs;</t>
  </si>
  <si>
    <t xml:space="preserve">       see CAC, gross margin per customer, and approximate payback in months.</t>
  </si>
  <si>
    <t xml:space="preserve">  2.  Seller side  — input your monthly ad spend, leads produced, other costs, sale price, and return</t>
  </si>
  <si>
    <t xml:space="preserve">       rate; see your cost per produced lead, effective revenue per lead, margin, margin %, and</t>
  </si>
  <si>
    <t xml:space="preserve">       monthly gross profit.</t>
  </si>
  <si>
    <t xml:space="preserve">  3.  Scenarios  — pre-loaded illustrative scenarios across major verticals.  Override any of the</t>
  </si>
  <si>
    <t xml:space="preserve">       yellow input cells to test your own assumptions against the representative ranges.</t>
  </si>
  <si>
    <t xml:space="preserve">  4.  This page.</t>
  </si>
  <si>
    <t xml:space="preserve">Color coding:</t>
  </si>
  <si>
    <t xml:space="preserve">  •  YELLOW cells = inputs you can edit.  Blue text = input values you've entered.</t>
  </si>
  <si>
    <t xml:space="preserve">  •  BLUE-FILL cells = formulas.  Black text = calculated values.  Don't edit these; they update</t>
  </si>
  <si>
    <t xml:space="preserve">       automatically from the inputs.</t>
  </si>
  <si>
    <t xml:space="preserve">What the math tells you:</t>
  </si>
  <si>
    <t xml:space="preserve">  •  Buyer side:  CAC = (lead cost / conversion rate) + other variable costs.  Gross margin =</t>
  </si>
  <si>
    <t xml:space="preserve">       LTV - CAC.  A vertical works for a buyer when the CAC fits comfortably under the LTV.</t>
  </si>
  <si>
    <t xml:space="preserve">  •  Seller side:  CPL = (ad spend + other costs) / leads produced.  Effective revenue per lead =</t>
  </si>
  <si>
    <t xml:space="preserve">       sale price × (1 - return rate).  Margin = effective revenue - CPL.</t>
  </si>
  <si>
    <t xml:space="preserve">  •  The single most powerful variable on either side is conversion rate.  Try cutting conversion</t>
  </si>
  <si>
    <t xml:space="preserve">       in half and watch CAC double.  This is why operator conversations are usually about quality</t>
  </si>
  <si>
    <t xml:space="preserve">       (which drives conversion), not about price.</t>
  </si>
  <si>
    <t xml:space="preserve">What this is not:</t>
  </si>
  <si>
    <t xml:space="preserve">  •  Not a finished financial model.  Treat as a starting point.</t>
  </si>
  <si>
    <t xml:space="preserve">  •  Not legal, financial, or business advice.  Numbers are representative, not market-clearing.</t>
  </si>
  <si>
    <t xml:space="preserve">  •  Not a substitute for tracking your own actual data — the moment you have real numbers,</t>
  </si>
  <si>
    <t xml:space="preserve">       replace the inputs.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</si>
</sst>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0"/>
    <numFmt numFmtId="168" formatCode="0.0"/>
    <numFmt numFmtId="169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1"/>
      <color rgb="FF1F3864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84"/>
        <bgColor rgb="FFFFCC99"/>
      </patternFill>
    </fill>
    <fill>
      <patternFill patternType="solid">
        <fgColor rgb="FFEA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31.5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5" t="n">
        <v>200</v>
      </c>
      <c r="C5" s="6" t="s">
        <v>7</v>
      </c>
      <c r="D5" s="6" t="s">
        <v>8</v>
      </c>
    </row>
    <row r="6" customFormat="false" ht="15" hidden="false" customHeight="false" outlineLevel="0" collapsed="false">
      <c r="A6" s="4" t="s">
        <v>9</v>
      </c>
      <c r="B6" s="7" t="n">
        <v>0.1</v>
      </c>
      <c r="C6" s="6" t="s">
        <v>10</v>
      </c>
      <c r="D6" s="6" t="s">
        <v>11</v>
      </c>
    </row>
    <row r="7" customFormat="false" ht="23.85" hidden="false" customHeight="false" outlineLevel="0" collapsed="false">
      <c r="A7" s="4" t="s">
        <v>12</v>
      </c>
      <c r="B7" s="5" t="n">
        <v>200</v>
      </c>
      <c r="C7" s="6" t="s">
        <v>7</v>
      </c>
      <c r="D7" s="6" t="s">
        <v>13</v>
      </c>
    </row>
    <row r="8" customFormat="false" ht="15" hidden="false" customHeight="false" outlineLevel="0" collapsed="false">
      <c r="A8" s="4" t="s">
        <v>14</v>
      </c>
      <c r="B8" s="5" t="n">
        <v>17500</v>
      </c>
      <c r="C8" s="6" t="s">
        <v>7</v>
      </c>
      <c r="D8" s="6" t="s">
        <v>15</v>
      </c>
    </row>
    <row r="9" customFormat="false" ht="23.85" hidden="false" customHeight="false" outlineLevel="0" collapsed="false">
      <c r="A9" s="4" t="s">
        <v>16</v>
      </c>
      <c r="B9" s="8" t="n">
        <v>12</v>
      </c>
      <c r="C9" s="6" t="s">
        <v>17</v>
      </c>
      <c r="D9" s="6" t="s">
        <v>18</v>
      </c>
    </row>
    <row r="10" customFormat="false" ht="12" hidden="false" customHeight="true" outlineLevel="0" collapsed="false"/>
    <row r="11" customFormat="false" ht="15" hidden="false" customHeight="false" outlineLevel="0" collapsed="false">
      <c r="A11" s="4" t="s">
        <v>19</v>
      </c>
      <c r="B11" s="9" t="n">
        <f aca="false">IF(B6=0,0,1/B6)</f>
        <v>10</v>
      </c>
      <c r="C11" s="6" t="s">
        <v>20</v>
      </c>
      <c r="D11" s="6" t="s">
        <v>21</v>
      </c>
    </row>
    <row r="12" customFormat="false" ht="15" hidden="false" customHeight="false" outlineLevel="0" collapsed="false">
      <c r="A12" s="4" t="s">
        <v>22</v>
      </c>
      <c r="B12" s="10" t="n">
        <f aca="false">(B5/B6)+B7</f>
        <v>2200</v>
      </c>
      <c r="C12" s="6" t="s">
        <v>7</v>
      </c>
      <c r="D12" s="6" t="s">
        <v>23</v>
      </c>
    </row>
    <row r="13" customFormat="false" ht="15" hidden="false" customHeight="false" outlineLevel="0" collapsed="false">
      <c r="A13" s="4" t="s">
        <v>24</v>
      </c>
      <c r="B13" s="10" t="n">
        <f aca="false">B8-B12</f>
        <v>15300</v>
      </c>
      <c r="C13" s="6" t="s">
        <v>7</v>
      </c>
      <c r="D13" s="6" t="s">
        <v>25</v>
      </c>
    </row>
    <row r="14" customFormat="false" ht="15" hidden="false" customHeight="false" outlineLevel="0" collapsed="false">
      <c r="A14" s="4" t="s">
        <v>26</v>
      </c>
      <c r="B14" s="11" t="n">
        <f aca="false">IF(B8=0,0,B13/B8)</f>
        <v>0.874285714285714</v>
      </c>
      <c r="C14" s="6" t="s">
        <v>10</v>
      </c>
      <c r="D14" s="6" t="s">
        <v>27</v>
      </c>
    </row>
    <row r="15" customFormat="false" ht="15" hidden="false" customHeight="false" outlineLevel="0" collapsed="false">
      <c r="A15" s="4" t="s">
        <v>28</v>
      </c>
      <c r="B15" s="9" t="n">
        <f aca="false">IF(B8=0,0,B9*B12/B8)</f>
        <v>1.50857142857143</v>
      </c>
      <c r="C15" s="6" t="s">
        <v>17</v>
      </c>
      <c r="D15" s="6" t="s">
        <v>29</v>
      </c>
    </row>
    <row r="16" customFormat="false" ht="12" hidden="false" customHeight="true" outlineLevel="0" collapsed="false"/>
    <row r="17" customFormat="false" ht="15" hidden="false" customHeight="false" outlineLevel="0" collapsed="false">
      <c r="A17" s="12" t="s">
        <v>30</v>
      </c>
      <c r="B17" s="12"/>
      <c r="C17" s="12"/>
      <c r="D17" s="12"/>
    </row>
  </sheetData>
  <mergeCells count="3">
    <mergeCell ref="A1:D1"/>
    <mergeCell ref="A2:D2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1" t="s">
        <v>31</v>
      </c>
      <c r="B1" s="1"/>
      <c r="C1" s="1"/>
      <c r="D1" s="1"/>
    </row>
    <row r="2" customFormat="false" ht="31.5" hidden="false" customHeight="true" outlineLevel="0" collapsed="false">
      <c r="A2" s="13" t="s">
        <v>32</v>
      </c>
      <c r="B2" s="13"/>
      <c r="C2" s="13"/>
      <c r="D2" s="13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33</v>
      </c>
      <c r="B5" s="5" t="n">
        <v>5000</v>
      </c>
      <c r="C5" s="6" t="s">
        <v>7</v>
      </c>
      <c r="D5" s="6" t="s">
        <v>34</v>
      </c>
    </row>
    <row r="6" customFormat="false" ht="15" hidden="false" customHeight="false" outlineLevel="0" collapsed="false">
      <c r="A6" s="4" t="s">
        <v>35</v>
      </c>
      <c r="B6" s="8" t="n">
        <v>100</v>
      </c>
      <c r="C6" s="6" t="s">
        <v>20</v>
      </c>
      <c r="D6" s="6" t="s">
        <v>36</v>
      </c>
    </row>
    <row r="7" customFormat="false" ht="23.85" hidden="false" customHeight="false" outlineLevel="0" collapsed="false">
      <c r="A7" s="4" t="s">
        <v>37</v>
      </c>
      <c r="B7" s="5" t="n">
        <v>1500</v>
      </c>
      <c r="C7" s="6" t="s">
        <v>7</v>
      </c>
      <c r="D7" s="6" t="s">
        <v>38</v>
      </c>
    </row>
    <row r="8" customFormat="false" ht="15" hidden="false" customHeight="false" outlineLevel="0" collapsed="false">
      <c r="A8" s="4" t="s">
        <v>39</v>
      </c>
      <c r="B8" s="5" t="n">
        <v>90</v>
      </c>
      <c r="C8" s="6" t="s">
        <v>7</v>
      </c>
      <c r="D8" s="6" t="s">
        <v>40</v>
      </c>
    </row>
    <row r="9" customFormat="false" ht="15" hidden="false" customHeight="false" outlineLevel="0" collapsed="false">
      <c r="A9" s="4" t="s">
        <v>41</v>
      </c>
      <c r="B9" s="7" t="n">
        <v>0.1</v>
      </c>
      <c r="C9" s="6" t="s">
        <v>10</v>
      </c>
      <c r="D9" s="6" t="s">
        <v>42</v>
      </c>
    </row>
    <row r="10" customFormat="false" ht="12" hidden="false" customHeight="true" outlineLevel="0" collapsed="false"/>
    <row r="11" customFormat="false" ht="23.85" hidden="false" customHeight="false" outlineLevel="0" collapsed="false">
      <c r="A11" s="4" t="s">
        <v>43</v>
      </c>
      <c r="B11" s="14" t="n">
        <f aca="false">IF(B6=0,0,(B5+B7)/B6)</f>
        <v>65</v>
      </c>
      <c r="C11" s="6" t="s">
        <v>7</v>
      </c>
      <c r="D11" s="6" t="s">
        <v>44</v>
      </c>
    </row>
    <row r="12" customFormat="false" ht="15" hidden="false" customHeight="false" outlineLevel="0" collapsed="false">
      <c r="A12" s="4" t="s">
        <v>45</v>
      </c>
      <c r="B12" s="14" t="n">
        <f aca="false">B8*(1-B9)</f>
        <v>81</v>
      </c>
      <c r="C12" s="6" t="s">
        <v>7</v>
      </c>
      <c r="D12" s="6" t="s">
        <v>46</v>
      </c>
    </row>
    <row r="13" customFormat="false" ht="15" hidden="false" customHeight="false" outlineLevel="0" collapsed="false">
      <c r="A13" s="4" t="s">
        <v>47</v>
      </c>
      <c r="B13" s="14" t="n">
        <f aca="false">B12-B11</f>
        <v>16</v>
      </c>
      <c r="C13" s="6" t="s">
        <v>7</v>
      </c>
      <c r="D13" s="6" t="s">
        <v>48</v>
      </c>
    </row>
    <row r="14" customFormat="false" ht="15" hidden="false" customHeight="false" outlineLevel="0" collapsed="false">
      <c r="A14" s="4" t="s">
        <v>49</v>
      </c>
      <c r="B14" s="11" t="n">
        <f aca="false">IF(B12=0,0,B13/B12)</f>
        <v>0.197530864197531</v>
      </c>
      <c r="C14" s="6" t="s">
        <v>10</v>
      </c>
      <c r="D14" s="6" t="s">
        <v>50</v>
      </c>
    </row>
    <row r="15" customFormat="false" ht="15" hidden="false" customHeight="false" outlineLevel="0" collapsed="false">
      <c r="A15" s="4" t="s">
        <v>51</v>
      </c>
      <c r="B15" s="10" t="n">
        <f aca="false">B6*B13</f>
        <v>1600</v>
      </c>
      <c r="C15" s="6" t="s">
        <v>7</v>
      </c>
      <c r="D15" s="6" t="s">
        <v>52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54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49</v>
      </c>
    </row>
    <row r="5" customFormat="false" ht="21.75" hidden="false" customHeight="true" outlineLevel="0" collapsed="false">
      <c r="A5" s="15" t="s">
        <v>62</v>
      </c>
      <c r="B5" s="5" t="n">
        <v>400</v>
      </c>
      <c r="C5" s="7" t="n">
        <v>0.2</v>
      </c>
      <c r="D5" s="5" t="n">
        <v>17500</v>
      </c>
      <c r="E5" s="5" t="n">
        <v>200</v>
      </c>
      <c r="F5" s="10" t="n">
        <f aca="false">(B5/C5)+E5</f>
        <v>2200</v>
      </c>
      <c r="G5" s="10" t="n">
        <f aca="false">D5-F5</f>
        <v>15300</v>
      </c>
      <c r="H5" s="11" t="n">
        <f aca="false">IF(D5=0,0,G5/D5)</f>
        <v>0.874285714285714</v>
      </c>
    </row>
    <row r="6" customFormat="false" ht="21.75" hidden="false" customHeight="true" outlineLevel="0" collapsed="false">
      <c r="A6" s="15" t="s">
        <v>63</v>
      </c>
      <c r="B6" s="5" t="n">
        <v>400</v>
      </c>
      <c r="C6" s="7" t="n">
        <v>0.1</v>
      </c>
      <c r="D6" s="5" t="n">
        <v>17500</v>
      </c>
      <c r="E6" s="5" t="n">
        <v>200</v>
      </c>
      <c r="F6" s="10" t="n">
        <f aca="false">(B6/C6)+E6</f>
        <v>4200</v>
      </c>
      <c r="G6" s="10" t="n">
        <f aca="false">D6-F6</f>
        <v>13300</v>
      </c>
      <c r="H6" s="11" t="n">
        <f aca="false">IF(D6=0,0,G6/D6)</f>
        <v>0.76</v>
      </c>
    </row>
    <row r="7" customFormat="false" ht="21.75" hidden="false" customHeight="true" outlineLevel="0" collapsed="false">
      <c r="A7" s="15" t="s">
        <v>64</v>
      </c>
      <c r="B7" s="5" t="n">
        <v>100</v>
      </c>
      <c r="C7" s="7" t="n">
        <v>0.08</v>
      </c>
      <c r="D7" s="5" t="n">
        <v>17500</v>
      </c>
      <c r="E7" s="5" t="n">
        <v>250</v>
      </c>
      <c r="F7" s="10" t="n">
        <f aca="false">(B7/C7)+E7</f>
        <v>1500</v>
      </c>
      <c r="G7" s="10" t="n">
        <f aca="false">D7-F7</f>
        <v>16000</v>
      </c>
      <c r="H7" s="11" t="n">
        <f aca="false">IF(D7=0,0,G7/D7)</f>
        <v>0.914285714285714</v>
      </c>
    </row>
    <row r="8" customFormat="false" ht="21.75" hidden="false" customHeight="true" outlineLevel="0" collapsed="false">
      <c r="A8" s="15" t="s">
        <v>65</v>
      </c>
      <c r="B8" s="5" t="n">
        <v>150</v>
      </c>
      <c r="C8" s="7" t="n">
        <v>0.18</v>
      </c>
      <c r="D8" s="5" t="n">
        <v>6000</v>
      </c>
      <c r="E8" s="5" t="n">
        <v>100</v>
      </c>
      <c r="F8" s="10" t="n">
        <f aca="false">(B8/C8)+E8</f>
        <v>933.333333333333</v>
      </c>
      <c r="G8" s="10" t="n">
        <f aca="false">D8-F8</f>
        <v>5066.66666666667</v>
      </c>
      <c r="H8" s="11" t="n">
        <f aca="false">IF(D8=0,0,G8/D8)</f>
        <v>0.844444444444444</v>
      </c>
    </row>
    <row r="9" customFormat="false" ht="21.75" hidden="false" customHeight="true" outlineLevel="0" collapsed="false">
      <c r="A9" s="15" t="s">
        <v>66</v>
      </c>
      <c r="B9" s="5" t="n">
        <v>40</v>
      </c>
      <c r="C9" s="7" t="n">
        <v>0.07</v>
      </c>
      <c r="D9" s="5" t="n">
        <v>6000</v>
      </c>
      <c r="E9" s="5" t="n">
        <v>100</v>
      </c>
      <c r="F9" s="10" t="n">
        <f aca="false">(B9/C9)+E9</f>
        <v>671.428571428571</v>
      </c>
      <c r="G9" s="10" t="n">
        <f aca="false">D9-F9</f>
        <v>5328.57142857143</v>
      </c>
      <c r="H9" s="11" t="n">
        <f aca="false">IF(D9=0,0,G9/D9)</f>
        <v>0.888095238095238</v>
      </c>
    </row>
    <row r="10" customFormat="false" ht="21.75" hidden="false" customHeight="true" outlineLevel="0" collapsed="false">
      <c r="A10" s="15" t="s">
        <v>67</v>
      </c>
      <c r="B10" s="5" t="n">
        <v>12</v>
      </c>
      <c r="C10" s="7" t="n">
        <v>0.04</v>
      </c>
      <c r="D10" s="5" t="n">
        <v>300</v>
      </c>
      <c r="E10" s="5" t="n">
        <v>40</v>
      </c>
      <c r="F10" s="10" t="n">
        <f aca="false">(B10/C10)+E10</f>
        <v>340</v>
      </c>
      <c r="G10" s="10" t="n">
        <f aca="false">D10-F10</f>
        <v>-40</v>
      </c>
      <c r="H10" s="11" t="n">
        <f aca="false">IF(D10=0,0,G10/D10)</f>
        <v>-0.133333333333333</v>
      </c>
    </row>
    <row r="11" customFormat="false" ht="21.75" hidden="false" customHeight="true" outlineLevel="0" collapsed="false">
      <c r="A11" s="15" t="s">
        <v>68</v>
      </c>
      <c r="B11" s="5" t="n">
        <v>45</v>
      </c>
      <c r="C11" s="7" t="n">
        <v>0.15</v>
      </c>
      <c r="D11" s="5" t="n">
        <v>1200</v>
      </c>
      <c r="E11" s="5" t="n">
        <v>50</v>
      </c>
      <c r="F11" s="10" t="n">
        <f aca="false">(B11/C11)+E11</f>
        <v>350</v>
      </c>
      <c r="G11" s="10" t="n">
        <f aca="false">D11-F11</f>
        <v>850</v>
      </c>
      <c r="H11" s="11" t="n">
        <f aca="false">IF(D11=0,0,G11/D11)</f>
        <v>0.708333333333333</v>
      </c>
    </row>
    <row r="12" customFormat="false" ht="21.75" hidden="false" customHeight="true" outlineLevel="0" collapsed="false">
      <c r="A12" s="15" t="s">
        <v>69</v>
      </c>
      <c r="B12" s="5" t="n">
        <v>25</v>
      </c>
      <c r="C12" s="7" t="n">
        <v>0.1</v>
      </c>
      <c r="D12" s="5" t="n">
        <v>500</v>
      </c>
      <c r="E12" s="5" t="n">
        <v>30</v>
      </c>
      <c r="F12" s="10" t="n">
        <f aca="false">(B12/C12)+E12</f>
        <v>280</v>
      </c>
      <c r="G12" s="10" t="n">
        <f aca="false">D12-F12</f>
        <v>220</v>
      </c>
      <c r="H12" s="11" t="n">
        <f aca="false">IF(D12=0,0,G12/D12)</f>
        <v>0.44</v>
      </c>
    </row>
    <row r="13" customFormat="false" ht="21.75" hidden="false" customHeight="true" outlineLevel="0" collapsed="false">
      <c r="A13" s="15" t="s">
        <v>70</v>
      </c>
      <c r="B13" s="5" t="n">
        <v>80</v>
      </c>
      <c r="C13" s="7" t="n">
        <v>0.12</v>
      </c>
      <c r="D13" s="5" t="n">
        <v>4500</v>
      </c>
      <c r="E13" s="5" t="n">
        <v>150</v>
      </c>
      <c r="F13" s="10" t="n">
        <f aca="false">(B13/C13)+E13</f>
        <v>816.666666666667</v>
      </c>
      <c r="G13" s="10" t="n">
        <f aca="false">D13-F13</f>
        <v>3683.33333333333</v>
      </c>
      <c r="H13" s="11" t="n">
        <f aca="false">IF(D13=0,0,G13/D13)</f>
        <v>0.818518518518518</v>
      </c>
    </row>
    <row r="14" customFormat="false" ht="21.75" hidden="false" customHeight="true" outlineLevel="0" collapsed="false">
      <c r="A14" s="15" t="s">
        <v>71</v>
      </c>
      <c r="B14" s="5" t="n">
        <v>70</v>
      </c>
      <c r="C14" s="7" t="n">
        <v>0.06</v>
      </c>
      <c r="D14" s="5" t="n">
        <v>3000</v>
      </c>
      <c r="E14" s="5" t="n">
        <v>200</v>
      </c>
      <c r="F14" s="10" t="n">
        <f aca="false">(B14/C14)+E14</f>
        <v>1366.66666666667</v>
      </c>
      <c r="G14" s="10" t="n">
        <f aca="false">D14-F14</f>
        <v>1633.33333333333</v>
      </c>
      <c r="H14" s="11" t="n">
        <f aca="false">IF(D14=0,0,G14/D14)</f>
        <v>0.544444444444444</v>
      </c>
    </row>
    <row r="15" customFormat="false" ht="21.75" hidden="false" customHeight="true" outlineLevel="0" collapsed="false">
      <c r="A15" s="15" t="s">
        <v>72</v>
      </c>
      <c r="B15" s="5" t="n">
        <v>120</v>
      </c>
      <c r="C15" s="7" t="n">
        <v>0.1</v>
      </c>
      <c r="D15" s="5" t="n">
        <v>2500</v>
      </c>
      <c r="E15" s="5" t="n">
        <v>150</v>
      </c>
      <c r="F15" s="10" t="n">
        <f aca="false">(B15/C15)+E15</f>
        <v>1350</v>
      </c>
      <c r="G15" s="10" t="n">
        <f aca="false">D15-F15</f>
        <v>1150</v>
      </c>
      <c r="H15" s="11" t="n">
        <f aca="false">IF(D15=0,0,G15/D15)</f>
        <v>0.46</v>
      </c>
    </row>
    <row r="16" customFormat="false" ht="21.75" hidden="false" customHeight="true" outlineLevel="0" collapsed="false">
      <c r="A16" s="15" t="s">
        <v>73</v>
      </c>
      <c r="B16" s="5" t="n">
        <v>60</v>
      </c>
      <c r="C16" s="7" t="n">
        <v>0.25</v>
      </c>
      <c r="D16" s="5" t="n">
        <v>3000</v>
      </c>
      <c r="E16" s="5" t="n">
        <v>100</v>
      </c>
      <c r="F16" s="10" t="n">
        <f aca="false">(B16/C16)+E16</f>
        <v>340</v>
      </c>
      <c r="G16" s="10" t="n">
        <f aca="false">D16-F16</f>
        <v>2660</v>
      </c>
      <c r="H16" s="11" t="n">
        <f aca="false">IF(D16=0,0,G16/D16)</f>
        <v>0.886666666666667</v>
      </c>
    </row>
    <row r="17" customFormat="false" ht="21.75" hidden="false" customHeight="true" outlineLevel="0" collapsed="false">
      <c r="A17" s="15" t="s">
        <v>74</v>
      </c>
      <c r="B17" s="5" t="n">
        <v>180</v>
      </c>
      <c r="C17" s="7" t="n">
        <v>0.15</v>
      </c>
      <c r="D17" s="5" t="n">
        <v>6000</v>
      </c>
      <c r="E17" s="5" t="n">
        <v>200</v>
      </c>
      <c r="F17" s="10" t="n">
        <f aca="false">(B17/C17)+E17</f>
        <v>1400</v>
      </c>
      <c r="G17" s="10" t="n">
        <f aca="false">D17-F17</f>
        <v>4600</v>
      </c>
      <c r="H17" s="11" t="n">
        <f aca="false">IF(D17=0,0,G17/D17)</f>
        <v>0.766666666666667</v>
      </c>
    </row>
    <row r="18" customFormat="false" ht="21.75" hidden="false" customHeight="true" outlineLevel="0" collapsed="false">
      <c r="A18" s="15" t="s">
        <v>75</v>
      </c>
      <c r="B18" s="5" t="n">
        <v>100</v>
      </c>
      <c r="C18" s="7" t="n">
        <v>0.05</v>
      </c>
      <c r="D18" s="5" t="n">
        <v>8000</v>
      </c>
      <c r="E18" s="5" t="n">
        <v>200</v>
      </c>
      <c r="F18" s="10" t="n">
        <f aca="false">(B18/C18)+E18</f>
        <v>2200</v>
      </c>
      <c r="G18" s="10" t="n">
        <f aca="false">D18-F18</f>
        <v>5800</v>
      </c>
      <c r="H18" s="11" t="n">
        <f aca="false">IF(D18=0,0,G18/D18)</f>
        <v>0.725</v>
      </c>
    </row>
    <row r="19" customFormat="false" ht="21.75" hidden="false" customHeight="true" outlineLevel="0" collapsed="false">
      <c r="A19" s="15" t="s">
        <v>76</v>
      </c>
      <c r="B19" s="5" t="n">
        <v>300</v>
      </c>
      <c r="C19" s="7" t="n">
        <v>0.2</v>
      </c>
      <c r="D19" s="5" t="n">
        <v>25000</v>
      </c>
      <c r="E19" s="5" t="n">
        <v>500</v>
      </c>
      <c r="F19" s="10" t="n">
        <f aca="false">(B19/C19)+E19</f>
        <v>2000</v>
      </c>
      <c r="G19" s="10" t="n">
        <f aca="false">D19-F19</f>
        <v>23000</v>
      </c>
      <c r="H19" s="11" t="n">
        <f aca="false">IF(D19=0,0,G19/D19)</f>
        <v>0.92</v>
      </c>
    </row>
  </sheetData>
  <mergeCells count="2">
    <mergeCell ref="A1:H1"/>
    <mergeCell ref="A2:H2"/>
  </mergeCells>
  <conditionalFormatting sqref="H5:H19">
    <cfRule type="colorScale" priority="2">
      <colorScale>
        <cfvo type="num" val="0"/>
        <cfvo type="num" val="0.3"/>
        <cfvo type="num" val="0.8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6" t="s">
        <v>77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7" t="s">
        <v>78</v>
      </c>
    </row>
    <row r="4" customFormat="false" ht="15" hidden="false" customHeight="false" outlineLevel="0" collapsed="false">
      <c r="A4" s="17"/>
    </row>
    <row r="5" customFormat="false" ht="15" hidden="false" customHeight="false" outlineLevel="0" collapsed="false">
      <c r="A5" s="17" t="s">
        <v>79</v>
      </c>
    </row>
    <row r="6" customFormat="false" ht="15" hidden="false" customHeight="false" outlineLevel="0" collapsed="false">
      <c r="A6" s="17" t="s">
        <v>80</v>
      </c>
    </row>
    <row r="7" customFormat="false" ht="15" hidden="false" customHeight="false" outlineLevel="0" collapsed="false">
      <c r="A7" s="17"/>
    </row>
    <row r="8" customFormat="false" ht="15" hidden="false" customHeight="false" outlineLevel="0" collapsed="false">
      <c r="A8" s="17" t="s">
        <v>81</v>
      </c>
    </row>
    <row r="9" customFormat="false" ht="15" hidden="false" customHeight="false" outlineLevel="0" collapsed="false">
      <c r="A9" s="17" t="s">
        <v>82</v>
      </c>
    </row>
    <row r="10" customFormat="false" ht="15" hidden="false" customHeight="false" outlineLevel="0" collapsed="false">
      <c r="A10" s="17" t="s">
        <v>83</v>
      </c>
    </row>
    <row r="11" customFormat="false" ht="15" hidden="false" customHeight="false" outlineLevel="0" collapsed="false">
      <c r="A11" s="17"/>
    </row>
    <row r="12" customFormat="false" ht="15" hidden="false" customHeight="false" outlineLevel="0" collapsed="false">
      <c r="A12" s="17" t="s">
        <v>84</v>
      </c>
    </row>
    <row r="13" customFormat="false" ht="15" hidden="false" customHeight="false" outlineLevel="0" collapsed="false">
      <c r="A13" s="17" t="s">
        <v>85</v>
      </c>
    </row>
    <row r="14" customFormat="false" ht="15" hidden="false" customHeight="false" outlineLevel="0" collapsed="false">
      <c r="A14" s="17"/>
    </row>
    <row r="15" customFormat="false" ht="15" hidden="false" customHeight="false" outlineLevel="0" collapsed="false">
      <c r="A15" s="17" t="s">
        <v>86</v>
      </c>
    </row>
    <row r="16" customFormat="false" ht="15" hidden="false" customHeight="false" outlineLevel="0" collapsed="false">
      <c r="A16" s="17"/>
    </row>
    <row r="17" customFormat="false" ht="15" hidden="false" customHeight="false" outlineLevel="0" collapsed="false">
      <c r="A17" s="17" t="s">
        <v>87</v>
      </c>
    </row>
    <row r="18" customFormat="false" ht="15" hidden="false" customHeight="false" outlineLevel="0" collapsed="false">
      <c r="A18" s="17" t="s">
        <v>88</v>
      </c>
    </row>
    <row r="19" customFormat="false" ht="15" hidden="false" customHeight="false" outlineLevel="0" collapsed="false">
      <c r="A19" s="17" t="s">
        <v>89</v>
      </c>
    </row>
    <row r="20" customFormat="false" ht="15" hidden="false" customHeight="false" outlineLevel="0" collapsed="false">
      <c r="A20" s="17" t="s">
        <v>90</v>
      </c>
    </row>
    <row r="21" customFormat="false" ht="15" hidden="false" customHeight="false" outlineLevel="0" collapsed="false">
      <c r="A21" s="17"/>
    </row>
    <row r="22" customFormat="false" ht="15" hidden="false" customHeight="false" outlineLevel="0" collapsed="false">
      <c r="A22" s="17" t="s">
        <v>91</v>
      </c>
    </row>
    <row r="23" customFormat="false" ht="15" hidden="false" customHeight="false" outlineLevel="0" collapsed="false">
      <c r="A23" s="17" t="s">
        <v>92</v>
      </c>
    </row>
    <row r="24" customFormat="false" ht="15" hidden="false" customHeight="false" outlineLevel="0" collapsed="false">
      <c r="A24" s="17" t="s">
        <v>93</v>
      </c>
    </row>
    <row r="25" customFormat="false" ht="15" hidden="false" customHeight="false" outlineLevel="0" collapsed="false">
      <c r="A25" s="17" t="s">
        <v>94</v>
      </c>
    </row>
    <row r="26" customFormat="false" ht="15" hidden="false" customHeight="false" outlineLevel="0" collapsed="false">
      <c r="A26" s="17" t="s">
        <v>95</v>
      </c>
    </row>
    <row r="27" customFormat="false" ht="15" hidden="false" customHeight="false" outlineLevel="0" collapsed="false">
      <c r="A27" s="17" t="s">
        <v>96</v>
      </c>
    </row>
    <row r="28" customFormat="false" ht="15" hidden="false" customHeight="false" outlineLevel="0" collapsed="false">
      <c r="A28" s="17" t="s">
        <v>97</v>
      </c>
    </row>
    <row r="29" customFormat="false" ht="15" hidden="false" customHeight="false" outlineLevel="0" collapsed="false">
      <c r="A29" s="17" t="s">
        <v>98</v>
      </c>
    </row>
    <row r="30" customFormat="false" ht="15" hidden="false" customHeight="false" outlineLevel="0" collapsed="false">
      <c r="A30" s="17"/>
    </row>
    <row r="31" customFormat="false" ht="15" hidden="false" customHeight="false" outlineLevel="0" collapsed="false">
      <c r="A31" s="17" t="s">
        <v>99</v>
      </c>
    </row>
    <row r="32" customFormat="false" ht="15" hidden="false" customHeight="false" outlineLevel="0" collapsed="false">
      <c r="A32" s="17" t="s">
        <v>100</v>
      </c>
    </row>
    <row r="33" customFormat="false" ht="15" hidden="false" customHeight="false" outlineLevel="0" collapsed="false">
      <c r="A33" s="17" t="s">
        <v>101</v>
      </c>
    </row>
    <row r="34" customFormat="false" ht="15" hidden="false" customHeight="false" outlineLevel="0" collapsed="false">
      <c r="A34" s="17" t="s">
        <v>102</v>
      </c>
    </row>
    <row r="35" customFormat="false" ht="15" hidden="false" customHeight="false" outlineLevel="0" collapsed="false">
      <c r="A35" s="17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2026-05-11T22:16:02Z</dcterms:created>
  <dc:creator>openpyxl</dc:creator>
  <dc:description/>
  <dc:language>en-US</dc:language>
  <cp:lastModifiedBy/>
  <dcterms:modified xsi:type="dcterms:W3CDTF">2026-05-11T22:16:02Z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